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4fbdb01bc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059e7f408f347c5"/>
    <x:sheet xmlns:r="http://schemas.openxmlformats.org/officeDocument/2006/relationships" name="PerDiemCaps" sheetId="2" r:id="R964b354400524859"/>
    <x:sheet xmlns:r="http://schemas.openxmlformats.org/officeDocument/2006/relationships" name="TaxiRules" sheetId="3" r:id="Rbcf931c1c2e74f14"/>
    <x:sheet xmlns:r="http://schemas.openxmlformats.org/officeDocument/2006/relationships" name="MileageRates" sheetId="4" r:id="Rfe5d2d4d79ac4fd0"/>
    <x:sheet xmlns:r="http://schemas.openxmlformats.org/officeDocument/2006/relationships" name="ExchangeRates" sheetId="5" r:id="R1d4c43630f6d4d47"/>
    <x:sheet xmlns:r="http://schemas.openxmlformats.org/officeDocument/2006/relationships" name="ApprovalMatrix" sheetId="6" r:id="R00717ea5759f4ef6"/>
    <x:sheet xmlns:r="http://schemas.openxmlformats.org/officeDocument/2006/relationships" name="ClaimExamples" sheetId="7" r:id="Rd745ba36486c4f70"/>
    <x:sheet xmlns:r="http://schemas.openxmlformats.org/officeDocument/2006/relationships" name="PolicyTags" sheetId="8" r:id="Rd8fe8e19ee5b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0"/>
  </x:numFmts>
  <x:fonts count="4">
    <x:font>
      <x:sz val="11"/>
      <x:name val="Carlito"/>
    </x:font>
    <x:font>
      <x:b/>
      <x:sz val="11"/>
      <x:color rgb="12384F"/>
      <x:name val="Carlito"/>
    </x:font>
    <x:font>
      <x:b/>
      <x:sz val="10"/>
      <x:color rgb="12384F"/>
      <x:name val="Calibri"/>
    </x:font>
    <x:font>
      <x:sz val="10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horizontal="center"/>
    </x:xf>
    <x:xf numFmtId="0" fontId="2" borderId="0" xfId="0" applyNumberFormat="1" applyFont="1" applyFill="0" applyBorder="1" applyAlignment="1">
      <x:alignment horizontal="center"/>
    </x:xf>
    <x:xf numFmtId="0" fontId="3" fillId="0" borderId="0" xfId="0" applyNumberFormat="1" applyFont="1" applyFill="1" applyBorder="1"/>
    <x:xf numFmtId="0" fontId="2" borderId="1" xfId="0" applyNumberFormat="1" applyFont="1" applyFill="0" applyBorder="1" applyAlignment="1">
      <x:alignment horizontal="center"/>
    </x:xf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3dc9fe46c482b" /><Relationship Type="http://schemas.openxmlformats.org/officeDocument/2006/relationships/theme" Target="/xl/theme/theme1.xml" Id="R6a13e8cd7d134e5a" /><Relationship Type="http://schemas.openxmlformats.org/officeDocument/2006/relationships/sharedStrings" Target="/xl/sharedStrings.xml" Id="Rfd6d37acedcc4201" /><Relationship Type="http://schemas.openxmlformats.org/officeDocument/2006/relationships/worksheet" Target="/xl/worksheets/sheet1.xml" Id="R4059e7f408f347c5" /><Relationship Type="http://schemas.openxmlformats.org/officeDocument/2006/relationships/worksheet" Target="/xl/worksheets/sheet2.xml" Id="R964b354400524859" /><Relationship Type="http://schemas.openxmlformats.org/officeDocument/2006/relationships/worksheet" Target="/xl/worksheets/sheet3.xml" Id="Rbcf931c1c2e74f14" /><Relationship Type="http://schemas.openxmlformats.org/officeDocument/2006/relationships/worksheet" Target="/xl/worksheets/sheet4.xml" Id="Rfe5d2d4d79ac4fd0" /><Relationship Type="http://schemas.openxmlformats.org/officeDocument/2006/relationships/worksheet" Target="/xl/worksheets/sheet5.xml" Id="R1d4c43630f6d4d47" /><Relationship Type="http://schemas.openxmlformats.org/officeDocument/2006/relationships/worksheet" Target="/xl/worksheets/sheet6.xml" Id="R00717ea5759f4ef6" /><Relationship Type="http://schemas.openxmlformats.org/officeDocument/2006/relationships/worksheet" Target="/xl/worksheets/sheet7.xml" Id="Rd745ba36486c4f70" /><Relationship Type="http://schemas.openxmlformats.org/officeDocument/2006/relationships/worksheet" Target="/xl/worksheets/sheet8.xml" Id="Rd8fe8e19ee5b48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>
      <x:c r="A1" s="8" t="str">
        <x:v>Atlas Mobility Group - Per Diem Caps Workbook 2026</x:v>
      </x:c>
      <x:c r="B1" s="8" t="str"/>
    </x:row>
    <x:row r="2">
      <x:c r="A2" s="9" t="str">
        <x:v>Purpose</x:v>
      </x:c>
      <x:c r="B2" s="9" t="str">
        <x:v>Synthetic data source for local RAG and agentic reimbursement demo.</x:v>
      </x:c>
    </x:row>
    <x:row r="3">
      <x:c r="A3" s="9" t="str">
        <x:v>Version</x:v>
      </x:c>
      <x:c r="B3" s="9" t="str">
        <x:v>PDC-2026.2</x:v>
      </x:c>
    </x:row>
    <x:row r="4">
      <x:c r="A4" s="9" t="str">
        <x:v>Effective date</x:v>
      </x:c>
      <x:c r="B4" s="9" t="str">
        <x:v>2026-01-01</x:v>
      </x:c>
    </x:row>
    <x:row r="5">
      <x:c r="A5" s="9" t="str">
        <x:v>Owner</x:v>
      </x:c>
      <x:c r="B5" s="9" t="str">
        <x:v>Finance Operations</x:v>
      </x:c>
    </x:row>
    <x:row r="6">
      <x:c r="A6" s="9" t="str">
        <x:v>Source priority</x:v>
      </x:c>
      <x:c r="B6" s="9" t="str">
        <x:v>Use this workbook for numeric caps, thresholds, and deterministic lookups. Use PDF/HTML for narrative policy rules.</x:v>
      </x:c>
    </x:row>
    <x:row r="7">
      <x:c r="A7" s="9" t="str">
        <x:v>RAG note</x:v>
      </x:c>
      <x:c r="B7" s="9" t="str">
        <x:v>Every sheet is intentionally structured differently so loaders must preserve sheet name, row context, and metadata.</x:v>
      </x:c>
    </x:row>
    <x:row r="8">
      <x:c r="A8" s="9" t="str">
        <x:v>Recommended metadata</x:v>
      </x:c>
      <x:c r="B8" s="9" t="str">
        <x:v>doc_type=xlsx, source_name=per_diem_caps.xlsx, sheet=&lt;sheet&gt;, effective_date=2026-01-01</x:v>
      </x:c>
    </x:row>
    <x:row r="9">
      <x:c r="A9" s="9" t="str">
        <x:v>Sheets</x:v>
      </x:c>
      <x:c r="B9" s="9" t="str"/>
    </x:row>
    <x:row r="10">
      <x:c r="A10" s="9" t="str">
        <x:v>PerDiemCaps</x:v>
      </x:c>
      <x:c r="B10" s="9" t="str">
        <x:v>Meal, hotel, taxi, and laundry caps by country/city.</x:v>
      </x:c>
    </x:row>
    <x:row r="11">
      <x:c r="A11" s="9" t="str">
        <x:v>TaxiRules</x:v>
      </x:c>
      <x:c r="B11" s="9" t="str">
        <x:v>After-hours thresholds and city-specific transport notes.</x:v>
      </x:c>
    </x:row>
    <x:row r="12">
      <x:c r="A12" s="9" t="str">
        <x:v>MileageRates</x:v>
      </x:c>
      <x:c r="B12" s="9" t="str">
        <x:v>Private car mileage rates and approval thresholds.</x:v>
      </x:c>
    </x:row>
    <x:row r="13">
      <x:c r="A13" s="9" t="str">
        <x:v>ExchangeRates</x:v>
      </x:c>
      <x:c r="B13" s="9" t="str">
        <x:v>Monthly finance exchange rates for claim conversion.</x:v>
      </x:c>
    </x:row>
    <x:row r="14">
      <x:c r="A14" s="9" t="str">
        <x:v>ApprovalMatrix</x:v>
      </x:c>
      <x:c r="B14" s="9" t="str">
        <x:v>Numeric thresholds for approval routing.</x:v>
      </x:c>
    </x:row>
    <x:row r="15">
      <x:c r="A15" s="9" t="str">
        <x:v>ClaimExamples</x:v>
      </x:c>
      <x:c r="B15" s="9" t="str">
        <x:v>Worked examples with formulas for reimbursement logic.</x:v>
      </x:c>
    </x:row>
    <x:row r="16">
      <x:c r="A16" s="9" t="str">
        <x:v>PolicyTags</x:v>
      </x:c>
      <x:c r="B16" s="9" t="str">
        <x:v>Metadata tags useful for filtering and retrieval.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5" hidden="0" customWidth="1"/>
    <x:col min="4" max="4" width="10" hidden="0" customWidth="1"/>
    <x:col min="5" max="5" width="17" hidden="0" customWidth="1"/>
    <x:col min="6" max="6" width="15" hidden="0" customWidth="1"/>
    <x:col min="7" max="7" width="16" hidden="0" customWidth="1"/>
    <x:col min="8" max="8" width="15" hidden="0" customWidth="1"/>
    <x:col min="9" max="9" width="18" hidden="0" customWidth="1"/>
    <x:col min="10" max="10" width="16" hidden="0" customWidth="1"/>
    <x:col min="11" max="11" width="18" hidden="0" customWidth="1"/>
    <x:col min="12" max="12" width="58" hidden="0" customWidth="1"/>
    <x:col min="13" max="13" width="14" hidden="0" customWidth="1"/>
  </x:cols>
  <x:sheetData>
    <x:row r="1">
      <x:c r="A1" s="8" t="str">
        <x:v>country_code</x:v>
      </x:c>
      <x:c r="B1" s="8" t="str">
        <x:v>country</x:v>
      </x:c>
      <x:c r="C1" s="8" t="str">
        <x:v>city</x:v>
      </x:c>
      <x:c r="D1" s="8" t="str">
        <x:v>currency</x:v>
      </x:c>
      <x:c r="E1" s="8" t="str">
        <x:v>meal_cap_breakfast</x:v>
      </x:c>
      <x:c r="F1" s="8" t="str">
        <x:v>meal_cap_lunch</x:v>
      </x:c>
      <x:c r="G1" s="8" t="str">
        <x:v>meal_cap_dinner</x:v>
      </x:c>
      <x:c r="H1" s="8" t="str">
        <x:v>meal_cap_daily</x:v>
      </x:c>
      <x:c r="I1" s="8" t="str">
        <x:v>hotel_cap_per_night</x:v>
      </x:c>
      <x:c r="J1" s="8" t="str">
        <x:v>taxi_allowed_after</x:v>
      </x:c>
      <x:c r="K1" s="8" t="str">
        <x:v>laundry_after_nights</x:v>
      </x:c>
      <x:c r="L1" s="8" t="str">
        <x:v>notes</x:v>
      </x:c>
      <x:c r="M1" s="8" t="str">
        <x:v>effective_date</x:v>
      </x:c>
    </x:row>
    <x:row r="2">
      <x:c r="A2" s="9" t="str">
        <x:v>AT</x:v>
      </x:c>
      <x:c r="B2" s="9" t="str">
        <x:v>Austria</x:v>
      </x:c>
      <x:c r="C2" s="9" t="str">
        <x:v>Vienna</x:v>
      </x:c>
      <x:c r="D2" s="9" t="str">
        <x:v>EUR</x:v>
      </x:c>
      <x:c r="E2" s="12" t="n">
        <x:v>12</x:v>
      </x:c>
      <x:c r="F2" s="12" t="n">
        <x:v>24</x:v>
      </x:c>
      <x:c r="G2" s="12" t="n">
        <x:v>35</x:v>
      </x:c>
      <x:c r="H2" s="12" t="n">
        <x:v>71</x:v>
      </x:c>
      <x:c r="I2" s="12" t="n">
        <x:v>160</x:v>
      </x:c>
      <x:c r="J2" s="9" t="str">
        <x:v>22:00</x:v>
      </x:c>
      <x:c r="K2" s="9" t="n">
        <x:v>5</x:v>
      </x:c>
      <x:c r="L2" s="9" t="str">
        <x:v>Dinner cap excludes alcohol unless client entertainment was pre-approved.</x:v>
      </x:c>
      <x:c r="M2" s="9" t="str">
        <x:v>2026-01-01</x:v>
      </x:c>
    </x:row>
    <x:row r="3">
      <x:c r="A3" s="9" t="str">
        <x:v>AT</x:v>
      </x:c>
      <x:c r="B3" s="9" t="str">
        <x:v>Austria</x:v>
      </x:c>
      <x:c r="C3" s="9" t="str">
        <x:v>Graz</x:v>
      </x:c>
      <x:c r="D3" s="9" t="str">
        <x:v>EUR</x:v>
      </x:c>
      <x:c r="E3" s="12" t="n">
        <x:v>10</x:v>
      </x:c>
      <x:c r="F3" s="12" t="n">
        <x:v>22</x:v>
      </x:c>
      <x:c r="G3" s="12" t="n">
        <x:v>32</x:v>
      </x:c>
      <x:c r="H3" s="12" t="n">
        <x:v>64</x:v>
      </x:c>
      <x:c r="I3" s="12" t="n">
        <x:v>135</x:v>
      </x:c>
      <x:c r="J3" s="9" t="str">
        <x:v>22:00</x:v>
      </x:c>
      <x:c r="K3" s="9" t="n">
        <x:v>5</x:v>
      </x:c>
      <x:c r="L3" s="9" t="str">
        <x:v>Lower hotel cap than Vienna; airport taxi needs route evidence.</x:v>
      </x:c>
      <x:c r="M3" s="9" t="str">
        <x:v>2026-01-01</x:v>
      </x:c>
    </x:row>
    <x:row r="4">
      <x:c r="A4" s="9" t="str">
        <x:v>AT</x:v>
      </x:c>
      <x:c r="B4" s="9" t="str">
        <x:v>Austria</x:v>
      </x:c>
      <x:c r="C4" s="9" t="str">
        <x:v>Linz</x:v>
      </x:c>
      <x:c r="D4" s="9" t="str">
        <x:v>EUR</x:v>
      </x:c>
      <x:c r="E4" s="12" t="n">
        <x:v>10</x:v>
      </x:c>
      <x:c r="F4" s="12" t="n">
        <x:v>21</x:v>
      </x:c>
      <x:c r="G4" s="12" t="n">
        <x:v>31</x:v>
      </x:c>
      <x:c r="H4" s="12" t="n">
        <x:v>62</x:v>
      </x:c>
      <x:c r="I4" s="12" t="n">
        <x:v>125</x:v>
      </x:c>
      <x:c r="J4" s="9" t="str">
        <x:v>22:00</x:v>
      </x:c>
      <x:c r="K4" s="9" t="n">
        <x:v>5</x:v>
      </x:c>
      <x:c r="L4" s="9" t="str">
        <x:v>Standard Austrian regional cap.</x:v>
      </x:c>
      <x:c r="M4" s="9" t="str">
        <x:v>2026-01-01</x:v>
      </x:c>
    </x:row>
    <x:row r="5">
      <x:c r="A5" s="9" t="str">
        <x:v>CZ</x:v>
      </x:c>
      <x:c r="B5" s="9" t="str">
        <x:v>Czechia</x:v>
      </x:c>
      <x:c r="C5" s="9" t="str">
        <x:v>Prague</x:v>
      </x:c>
      <x:c r="D5" s="9" t="str">
        <x:v>CZK</x:v>
      </x:c>
      <x:c r="E5" s="12" t="n">
        <x:v>250</x:v>
      </x:c>
      <x:c r="F5" s="12" t="n">
        <x:v>500</x:v>
      </x:c>
      <x:c r="G5" s="12" t="n">
        <x:v>700</x:v>
      </x:c>
      <x:c r="H5" s="12" t="n">
        <x:v>1450</x:v>
      </x:c>
      <x:c r="I5" s="12" t="n">
        <x:v>3000</x:v>
      </x:c>
      <x:c r="J5" s="9" t="str">
        <x:v>21:00</x:v>
      </x:c>
      <x:c r="K5" s="9" t="n">
        <x:v>5</x:v>
      </x:c>
      <x:c r="L5" s="9" t="str">
        <x:v>Caps stored in local currency; convert with Finance monthly rate.</x:v>
      </x:c>
      <x:c r="M5" s="9" t="str">
        <x:v>2026-01-01</x:v>
      </x:c>
    </x:row>
    <x:row r="6">
      <x:c r="A6" s="9" t="str">
        <x:v>CZ</x:v>
      </x:c>
      <x:c r="B6" s="9" t="str">
        <x:v>Czechia</x:v>
      </x:c>
      <x:c r="C6" s="9" t="str">
        <x:v>Brno</x:v>
      </x:c>
      <x:c r="D6" s="9" t="str">
        <x:v>CZK</x:v>
      </x:c>
      <x:c r="E6" s="12" t="n">
        <x:v>220</x:v>
      </x:c>
      <x:c r="F6" s="12" t="n">
        <x:v>450</x:v>
      </x:c>
      <x:c r="G6" s="12" t="n">
        <x:v>620</x:v>
      </x:c>
      <x:c r="H6" s="12" t="n">
        <x:v>1290</x:v>
      </x:c>
      <x:c r="I6" s="12" t="n">
        <x:v>2500</x:v>
      </x:c>
      <x:c r="J6" s="9" t="str">
        <x:v>21:00</x:v>
      </x:c>
      <x:c r="K6" s="9" t="n">
        <x:v>5</x:v>
      </x:c>
      <x:c r="L6" s="9" t="str">
        <x:v>Taxi before 21:00 requires exception reason.</x:v>
      </x:c>
      <x:c r="M6" s="9" t="str">
        <x:v>2026-01-01</x:v>
      </x:c>
    </x:row>
    <x:row r="7">
      <x:c r="A7" s="9" t="str">
        <x:v>CZ</x:v>
      </x:c>
      <x:c r="B7" s="9" t="str">
        <x:v>Czechia</x:v>
      </x:c>
      <x:c r="C7" s="9" t="str">
        <x:v>Ostrava</x:v>
      </x:c>
      <x:c r="D7" s="9" t="str">
        <x:v>CZK</x:v>
      </x:c>
      <x:c r="E7" s="12" t="n">
        <x:v>200</x:v>
      </x:c>
      <x:c r="F7" s="12" t="n">
        <x:v>420</x:v>
      </x:c>
      <x:c r="G7" s="12" t="n">
        <x:v>580</x:v>
      </x:c>
      <x:c r="H7" s="12" t="n">
        <x:v>1200</x:v>
      </x:c>
      <x:c r="I7" s="12" t="n">
        <x:v>2300</x:v>
      </x:c>
      <x:c r="J7" s="9" t="str">
        <x:v>21:00</x:v>
      </x:c>
      <x:c r="K7" s="9" t="n">
        <x:v>5</x:v>
      </x:c>
      <x:c r="L7" s="9" t="str">
        <x:v>Regional rate; hotel above cap needs manager approval.</x:v>
      </x:c>
      <x:c r="M7" s="9" t="str">
        <x:v>2026-01-01</x:v>
      </x:c>
    </x:row>
    <x:row r="8">
      <x:c r="A8" s="9" t="str">
        <x:v>DE</x:v>
      </x:c>
      <x:c r="B8" s="9" t="str">
        <x:v>Germany</x:v>
      </x:c>
      <x:c r="C8" s="9" t="str">
        <x:v>Berlin</x:v>
      </x:c>
      <x:c r="D8" s="9" t="str">
        <x:v>EUR</x:v>
      </x:c>
      <x:c r="E8" s="12" t="n">
        <x:v>14</x:v>
      </x:c>
      <x:c r="F8" s="12" t="n">
        <x:v>28</x:v>
      </x:c>
      <x:c r="G8" s="12" t="n">
        <x:v>40</x:v>
      </x:c>
      <x:c r="H8" s="12" t="n">
        <x:v>82</x:v>
      </x:c>
      <x:c r="I8" s="12" t="n">
        <x:v>180</x:v>
      </x:c>
      <x:c r="J8" s="9" t="str">
        <x:v>22:00</x:v>
      </x:c>
      <x:c r="K8" s="9" t="n">
        <x:v>5</x:v>
      </x:c>
      <x:c r="L8" s="9" t="str">
        <x:v>Conference hotel above cap can be approved with evidence.</x:v>
      </x:c>
      <x:c r="M8" s="9" t="str">
        <x:v>2026-01-01</x:v>
      </x:c>
    </x:row>
    <x:row r="9">
      <x:c r="A9" s="9" t="str">
        <x:v>DE</x:v>
      </x:c>
      <x:c r="B9" s="9" t="str">
        <x:v>Germany</x:v>
      </x:c>
      <x:c r="C9" s="9" t="str">
        <x:v>Munich</x:v>
      </x:c>
      <x:c r="D9" s="9" t="str">
        <x:v>EUR</x:v>
      </x:c>
      <x:c r="E9" s="12" t="n">
        <x:v>15</x:v>
      </x:c>
      <x:c r="F9" s="12" t="n">
        <x:v>30</x:v>
      </x:c>
      <x:c r="G9" s="12" t="n">
        <x:v>45</x:v>
      </x:c>
      <x:c r="H9" s="12" t="n">
        <x:v>90</x:v>
      </x:c>
      <x:c r="I9" s="12" t="n">
        <x:v>210</x:v>
      </x:c>
      <x:c r="J9" s="9" t="str">
        <x:v>22:00</x:v>
      </x:c>
      <x:c r="K9" s="9" t="n">
        <x:v>5</x:v>
      </x:c>
      <x:c r="L9" s="9" t="str">
        <x:v>Higher lodging cap due to market rates.</x:v>
      </x:c>
      <x:c r="M9" s="9" t="str">
        <x:v>2026-01-01</x:v>
      </x:c>
    </x:row>
    <x:row r="10">
      <x:c r="A10" s="9" t="str">
        <x:v>DE</x:v>
      </x:c>
      <x:c r="B10" s="9" t="str">
        <x:v>Germany</x:v>
      </x:c>
      <x:c r="C10" s="9" t="str">
        <x:v>Frankfurt</x:v>
      </x:c>
      <x:c r="D10" s="9" t="str">
        <x:v>EUR</x:v>
      </x:c>
      <x:c r="E10" s="12" t="n">
        <x:v>14</x:v>
      </x:c>
      <x:c r="F10" s="12" t="n">
        <x:v>29</x:v>
      </x:c>
      <x:c r="G10" s="12" t="n">
        <x:v>42</x:v>
      </x:c>
      <x:c r="H10" s="12" t="n">
        <x:v>85</x:v>
      </x:c>
      <x:c r="I10" s="12" t="n">
        <x:v>190</x:v>
      </x:c>
      <x:c r="J10" s="9" t="str">
        <x:v>22:00</x:v>
      </x:c>
      <x:c r="K10" s="9" t="n">
        <x:v>5</x:v>
      </x:c>
      <x:c r="L10" s="9" t="str">
        <x:v>Airport taxi must include route or booking proof.</x:v>
      </x:c>
      <x:c r="M10" s="9" t="str">
        <x:v>2026-01-01</x:v>
      </x:c>
    </x:row>
    <x:row r="11">
      <x:c r="A11" s="9" t="str">
        <x:v>CH</x:v>
      </x:c>
      <x:c r="B11" s="9" t="str">
        <x:v>Switzerland</x:v>
      </x:c>
      <x:c r="C11" s="9" t="str">
        <x:v>Zurich</x:v>
      </x:c>
      <x:c r="D11" s="9" t="str">
        <x:v>CHF</x:v>
      </x:c>
      <x:c r="E11" s="12" t="n">
        <x:v>18</x:v>
      </x:c>
      <x:c r="F11" s="12" t="n">
        <x:v>36</x:v>
      </x:c>
      <x:c r="G11" s="12" t="n">
        <x:v>55</x:v>
      </x:c>
      <x:c r="H11" s="12" t="n">
        <x:v>109</x:v>
      </x:c>
      <x:c r="I11" s="12" t="n">
        <x:v>240</x:v>
      </x:c>
      <x:c r="J11" s="9" t="str">
        <x:v>22:30</x:v>
      </x:c>
      <x:c r="K11" s="9" t="n">
        <x:v>4</x:v>
      </x:c>
      <x:c r="L11" s="9" t="str">
        <x:v>Caps are CHF; report in source currency and convert to EUR.</x:v>
      </x:c>
      <x:c r="M11" s="9" t="str">
        <x:v>2026-01-01</x:v>
      </x:c>
    </x:row>
    <x:row r="12">
      <x:c r="A12" s="9" t="str">
        <x:v>CH</x:v>
      </x:c>
      <x:c r="B12" s="9" t="str">
        <x:v>Switzerland</x:v>
      </x:c>
      <x:c r="C12" s="9" t="str">
        <x:v>Basel</x:v>
      </x:c>
      <x:c r="D12" s="9" t="str">
        <x:v>CHF</x:v>
      </x:c>
      <x:c r="E12" s="12" t="n">
        <x:v>16</x:v>
      </x:c>
      <x:c r="F12" s="12" t="n">
        <x:v>33</x:v>
      </x:c>
      <x:c r="G12" s="12" t="n">
        <x:v>50</x:v>
      </x:c>
      <x:c r="H12" s="12" t="n">
        <x:v>99</x:v>
      </x:c>
      <x:c r="I12" s="12" t="n">
        <x:v>210</x:v>
      </x:c>
      <x:c r="J12" s="9" t="str">
        <x:v>22:30</x:v>
      </x:c>
      <x:c r="K12" s="9" t="n">
        <x:v>4</x:v>
      </x:c>
      <x:c r="L12" s="9" t="str">
        <x:v>Client entertainment requires attendee list.</x:v>
      </x:c>
      <x:c r="M12" s="9" t="str">
        <x:v>2026-01-01</x:v>
      </x:c>
    </x:row>
    <x:row r="13">
      <x:c r="A13" s="9" t="str">
        <x:v>NL</x:v>
      </x:c>
      <x:c r="B13" s="9" t="str">
        <x:v>Netherlands</x:v>
      </x:c>
      <x:c r="C13" s="9" t="str">
        <x:v>Amsterdam</x:v>
      </x:c>
      <x:c r="D13" s="9" t="str">
        <x:v>EUR</x:v>
      </x:c>
      <x:c r="E13" s="12" t="n">
        <x:v>13</x:v>
      </x:c>
      <x:c r="F13" s="12" t="n">
        <x:v>27</x:v>
      </x:c>
      <x:c r="G13" s="12" t="n">
        <x:v>39</x:v>
      </x:c>
      <x:c r="H13" s="12" t="n">
        <x:v>79</x:v>
      </x:c>
      <x:c r="I13" s="12" t="n">
        <x:v>175</x:v>
      </x:c>
      <x:c r="J13" s="9" t="str">
        <x:v>22:00</x:v>
      </x:c>
      <x:c r="K13" s="9" t="n">
        <x:v>5</x:v>
      </x:c>
      <x:c r="L13" s="9" t="str">
        <x:v>Taxi from Schiphol usually requires business reason.</x:v>
      </x:c>
      <x:c r="M13" s="9" t="str">
        <x:v>2026-01-01</x:v>
      </x:c>
    </x:row>
    <x:row r="14">
      <x:c r="A14" s="9" t="str">
        <x:v>FR</x:v>
      </x:c>
      <x:c r="B14" s="9" t="str">
        <x:v>France</x:v>
      </x:c>
      <x:c r="C14" s="9" t="str">
        <x:v>Paris</x:v>
      </x:c>
      <x:c r="D14" s="9" t="str">
        <x:v>EUR</x:v>
      </x:c>
      <x:c r="E14" s="12" t="n">
        <x:v>15</x:v>
      </x:c>
      <x:c r="F14" s="12" t="n">
        <x:v>32</x:v>
      </x:c>
      <x:c r="G14" s="12" t="n">
        <x:v>46</x:v>
      </x:c>
      <x:c r="H14" s="12" t="n">
        <x:v>93</x:v>
      </x:c>
      <x:c r="I14" s="12" t="n">
        <x:v>220</x:v>
      </x:c>
      <x:c r="J14" s="9" t="str">
        <x:v>22:00</x:v>
      </x:c>
      <x:c r="K14" s="9" t="n">
        <x:v>5</x:v>
      </x:c>
      <x:c r="L14" s="9" t="str">
        <x:v>Hotel above cap often reviewed manually during trade fairs.</x:v>
      </x:c>
      <x:c r="M14" s="9" t="str">
        <x:v>2026-01-01</x:v>
      </x:c>
    </x:row>
    <x:row r="15">
      <x:c r="A15" s="9" t="str">
        <x:v>GB</x:v>
      </x:c>
      <x:c r="B15" s="9" t="str">
        <x:v>United Kingdom</x:v>
      </x:c>
      <x:c r="C15" s="9" t="str">
        <x:v>London</x:v>
      </x:c>
      <x:c r="D15" s="9" t="str">
        <x:v>GBP</x:v>
      </x:c>
      <x:c r="E15" s="12" t="n">
        <x:v>13</x:v>
      </x:c>
      <x:c r="F15" s="12" t="n">
        <x:v>30</x:v>
      </x:c>
      <x:c r="G15" s="12" t="n">
        <x:v>48</x:v>
      </x:c>
      <x:c r="H15" s="12" t="n">
        <x:v>91</x:v>
      </x:c>
      <x:c r="I15" s="12" t="n">
        <x:v>210</x:v>
      </x:c>
      <x:c r="J15" s="9" t="str">
        <x:v>22:30</x:v>
      </x:c>
      <x:c r="K15" s="9" t="n">
        <x:v>4</x:v>
      </x:c>
      <x:c r="L15" s="9" t="str">
        <x:v>Caps are GBP; use monthly Finance exchange rate.</x:v>
      </x:c>
      <x:c r="M15" s="9" t="str">
        <x:v>2026-01-01</x:v>
      </x:c>
    </x:row>
    <x:row r="16">
      <x:c r="A16" s="9" t="str">
        <x:v>US</x:v>
      </x:c>
      <x:c r="B16" s="9" t="str">
        <x:v>United States</x:v>
      </x:c>
      <x:c r="C16" s="9" t="str">
        <x:v>New York</x:v>
      </x:c>
      <x:c r="D16" s="9" t="str">
        <x:v>USD</x:v>
      </x:c>
      <x:c r="E16" s="12" t="n">
        <x:v>18</x:v>
      </x:c>
      <x:c r="F16" s="12" t="n">
        <x:v>36</x:v>
      </x:c>
      <x:c r="G16" s="12" t="n">
        <x:v>60</x:v>
      </x:c>
      <x:c r="H16" s="12" t="n">
        <x:v>114</x:v>
      </x:c>
      <x:c r="I16" s="12" t="n">
        <x:v>280</x:v>
      </x:c>
      <x:c r="J16" s="9" t="str">
        <x:v>22:00</x:v>
      </x:c>
      <x:c r="K16" s="9" t="n">
        <x:v>4</x:v>
      </x:c>
      <x:c r="L16" s="9" t="str">
        <x:v>Tips are reimbursable within reason but must be itemized.</x:v>
      </x:c>
      <x:c r="M16" s="9" t="str">
        <x:v>2026-01-01</x:v>
      </x:c>
    </x:row>
    <x:row r="17">
      <x:c r="A17" s="9" t="str">
        <x:v>US</x:v>
      </x:c>
      <x:c r="B17" s="9" t="str">
        <x:v>United States</x:v>
      </x:c>
      <x:c r="C17" s="9" t="str">
        <x:v>Houston</x:v>
      </x:c>
      <x:c r="D17" s="9" t="str">
        <x:v>USD</x:v>
      </x:c>
      <x:c r="E17" s="12" t="n">
        <x:v>15</x:v>
      </x:c>
      <x:c r="F17" s="12" t="n">
        <x:v>30</x:v>
      </x:c>
      <x:c r="G17" s="12" t="n">
        <x:v>48</x:v>
      </x:c>
      <x:c r="H17" s="12" t="n">
        <x:v>93</x:v>
      </x:c>
      <x:c r="I17" s="12" t="n">
        <x:v>210</x:v>
      </x:c>
      <x:c r="J17" s="9" t="str">
        <x:v>22:00</x:v>
      </x:c>
      <x:c r="K17" s="9" t="n">
        <x:v>4</x:v>
      </x:c>
      <x:c r="L17" s="9" t="str">
        <x:v>Rental car is common for plant visits but still needs business purpose.</x:v>
      </x:c>
      <x:c r="M17" s="9" t="str">
        <x:v>2026-01-01</x:v>
      </x:c>
    </x:row>
    <x:row r="18">
      <x:c r="A18" s="9" t="str">
        <x:v>PL</x:v>
      </x:c>
      <x:c r="B18" s="9" t="str">
        <x:v>Poland</x:v>
      </x:c>
      <x:c r="C18" s="9" t="str">
        <x:v>Warsaw</x:v>
      </x:c>
      <x:c r="D18" s="9" t="str">
        <x:v>PLN</x:v>
      </x:c>
      <x:c r="E18" s="12" t="n">
        <x:v>50</x:v>
      </x:c>
      <x:c r="F18" s="12" t="n">
        <x:v>95</x:v>
      </x:c>
      <x:c r="G18" s="12" t="n">
        <x:v>140</x:v>
      </x:c>
      <x:c r="H18" s="12" t="n">
        <x:v>285</x:v>
      </x:c>
      <x:c r="I18" s="12" t="n">
        <x:v>520</x:v>
      </x:c>
      <x:c r="J18" s="9" t="str">
        <x:v>21:30</x:v>
      </x:c>
      <x:c r="K18" s="9" t="n">
        <x:v>5</x:v>
      </x:c>
      <x:c r="L18" s="9" t="str">
        <x:v>Local taxi apps accepted with route evidence.</x:v>
      </x:c>
      <x:c r="M18" s="9" t="str">
        <x:v>2026-01-01</x:v>
      </x:c>
    </x:row>
    <x:row r="19">
      <x:c r="A19" s="9" t="str">
        <x:v>HU</x:v>
      </x:c>
      <x:c r="B19" s="9" t="str">
        <x:v>Hungary</x:v>
      </x:c>
      <x:c r="C19" s="9" t="str">
        <x:v>Budapest</x:v>
      </x:c>
      <x:c r="D19" s="9" t="str">
        <x:v>HUF</x:v>
      </x:c>
      <x:c r="E19" s="12" t="n">
        <x:v>4500</x:v>
      </x:c>
      <x:c r="F19" s="12" t="n">
        <x:v>9000</x:v>
      </x:c>
      <x:c r="G19" s="12" t="n">
        <x:v>13000</x:v>
      </x:c>
      <x:c r="H19" s="12" t="n">
        <x:v>26500</x:v>
      </x:c>
      <x:c r="I19" s="12" t="n">
        <x:v>48000</x:v>
      </x:c>
      <x:c r="J19" s="9" t="str">
        <x:v>21:30</x:v>
      </x:c>
      <x:c r="K19" s="9" t="n">
        <x:v>5</x:v>
      </x:c>
      <x:c r="L19" s="9" t="str">
        <x:v>Cash receipts must show vendor and date.</x:v>
      </x:c>
      <x:c r="M19" s="9" t="str">
        <x:v>2026-01-01</x:v>
      </x:c>
    </x:row>
    <x:row r="20">
      <x:c r="A20" s="9" t="str">
        <x:v>IT</x:v>
      </x:c>
      <x:c r="B20" s="9" t="str">
        <x:v>Italy</x:v>
      </x:c>
      <x:c r="C20" s="9" t="str">
        <x:v>Milan</x:v>
      </x:c>
      <x:c r="D20" s="9" t="str">
        <x:v>EUR</x:v>
      </x:c>
      <x:c r="E20" s="12" t="n">
        <x:v>14</x:v>
      </x:c>
      <x:c r="F20" s="12" t="n">
        <x:v>30</x:v>
      </x:c>
      <x:c r="G20" s="12" t="n">
        <x:v>44</x:v>
      </x:c>
      <x:c r="H20" s="12" t="n">
        <x:v>88</x:v>
      </x:c>
      <x:c r="I20" s="12" t="n">
        <x:v>205</x:v>
      </x:c>
      <x:c r="J20" s="9" t="str">
        <x:v>22:00</x:v>
      </x:c>
      <x:c r="K20" s="9" t="n">
        <x:v>5</x:v>
      </x:c>
      <x:c r="L20" s="9" t="str">
        <x:v>City tax reimbursable when shown on hotel folio.</x:v>
      </x:c>
      <x:c r="M20" s="9" t="str">
        <x:v>2026-01-01</x:v>
      </x:c>
    </x:row>
    <x:row r="21">
      <x:c r="A21" s="9" t="str">
        <x:v>ES</x:v>
      </x:c>
      <x:c r="B21" s="9" t="str">
        <x:v>Spain</x:v>
      </x:c>
      <x:c r="C21" s="9" t="str">
        <x:v>Madrid</x:v>
      </x:c>
      <x:c r="D21" s="9" t="str">
        <x:v>EUR</x:v>
      </x:c>
      <x:c r="E21" s="12" t="n">
        <x:v>12</x:v>
      </x:c>
      <x:c r="F21" s="12" t="n">
        <x:v>26</x:v>
      </x:c>
      <x:c r="G21" s="12" t="n">
        <x:v>38</x:v>
      </x:c>
      <x:c r="H21" s="12" t="n">
        <x:v>76</x:v>
      </x:c>
      <x:c r="I21" s="12" t="n">
        <x:v>165</x:v>
      </x:c>
      <x:c r="J21" s="9" t="str">
        <x:v>22:00</x:v>
      </x:c>
      <x:c r="K21" s="9" t="n">
        <x:v>5</x:v>
      </x:c>
      <x:c r="L21" s="9" t="str">
        <x:v>Late dinner is normal locally but alcohol still excluded.</x:v>
      </x:c>
      <x:c r="M21" s="9" t="str">
        <x:v>2026-01-01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5" hidden="0" customWidth="1"/>
    <x:col min="4" max="4" width="32" hidden="0" customWidth="1"/>
    <x:col min="5" max="5" width="32" hidden="0" customWidth="1"/>
    <x:col min="6" max="6" width="20" hidden="0" customWidth="1"/>
    <x:col min="7" max="7" width="38" hidden="0" customWidth="1"/>
    <x:col min="8" max="8" width="52" hidden="0" customWidth="1"/>
  </x:cols>
  <x:sheetData>
    <x:row r="1">
      <x:c r="A1" s="8" t="str">
        <x:v>country_code</x:v>
      </x:c>
      <x:c r="B1" s="8" t="str">
        <x:v>city</x:v>
      </x:c>
      <x:c r="C1" s="8" t="str">
        <x:v>default_after_hours_threshold</x:v>
      </x:c>
      <x:c r="D1" s="8" t="str">
        <x:v>airport_to_city_allowed</x:v>
      </x:c>
      <x:c r="E1" s="8" t="str">
        <x:v>home_to_office_allowed</x:v>
      </x:c>
      <x:c r="F1" s="8" t="str">
        <x:v>requires_route_evidence</x:v>
      </x:c>
      <x:c r="G1" s="8" t="str">
        <x:v>exception_keywords</x:v>
      </x:c>
      <x:c r="H1" s="8" t="str">
        <x:v>audit_note</x:v>
      </x:c>
    </x:row>
    <x:row r="2">
      <x:c r="A2" s="9" t="str">
        <x:v>AT</x:v>
      </x:c>
      <x:c r="B2" s="9" t="str">
        <x:v>Vienna</x:v>
      </x:c>
      <x:c r="C2" s="9" t="str">
        <x:v>22:00</x:v>
      </x:c>
      <x:c r="D2" s="9" t="str">
        <x:v>Yes if luggage, late arrival, or public transport disruption</x:v>
      </x:c>
      <x:c r="E2" s="9" t="str">
        <x:v>No, unless approved overtime after 22:00 or safety issue</x:v>
      </x:c>
      <x:c r="F2" s="9" t="str">
        <x:v>Yes</x:v>
      </x:c>
      <x:c r="G2" s="9" t="str">
        <x:v>luggage; late arrival; safety; strike; disruption</x:v>
      </x:c>
      <x:c r="H2" s="9" t="str">
        <x:v>Before 22:00 route evidence and exception reason are important.</x:v>
      </x:c>
    </x:row>
    <x:row r="3">
      <x:c r="A3" s="9" t="str">
        <x:v>CZ</x:v>
      </x:c>
      <x:c r="B3" s="9" t="str">
        <x:v>Prague</x:v>
      </x:c>
      <x:c r="C3" s="9" t="str">
        <x:v>21:00</x:v>
      </x:c>
      <x:c r="D3" s="9" t="str">
        <x:v>Yes if after threshold or public transport not practical</x:v>
      </x:c>
      <x:c r="E3" s="9" t="str">
        <x:v>No, unless overtime after 22:00 or safety issue</x:v>
      </x:c>
      <x:c r="F3" s="9" t="str">
        <x:v>Yes</x:v>
      </x:c>
      <x:c r="G3" s="9" t="str">
        <x:v>luggage; unsafe; disruption; late return</x:v>
      </x:c>
      <x:c r="H3" s="9" t="str">
        <x:v>20:30 is not after-hours in Prague under default rule.</x:v>
      </x:c>
    </x:row>
    <x:row r="4">
      <x:c r="A4" s="9" t="str">
        <x:v>CZ</x:v>
      </x:c>
      <x:c r="B4" s="9" t="str">
        <x:v>Brno</x:v>
      </x:c>
      <x:c r="C4" s="9" t="str">
        <x:v>21:00</x:v>
      </x:c>
      <x:c r="D4" s="9" t="str">
        <x:v>Yes if after threshold or public transport not practical</x:v>
      </x:c>
      <x:c r="E4" s="9" t="str">
        <x:v>No</x:v>
      </x:c>
      <x:c r="F4" s="9" t="str">
        <x:v>Yes</x:v>
      </x:c>
      <x:c r="G4" s="9" t="str">
        <x:v>plant visit; luggage; unsafe</x:v>
      </x:c>
      <x:c r="H4" s="9" t="str">
        <x:v>Brno taxi claims often fail when business purpose is missing.</x:v>
      </x:c>
    </x:row>
    <x:row r="5">
      <x:c r="A5" s="9" t="str">
        <x:v>DE</x:v>
      </x:c>
      <x:c r="B5" s="9" t="str">
        <x:v>Berlin</x:v>
      </x:c>
      <x:c r="C5" s="9" t="str">
        <x:v>22:00</x:v>
      </x:c>
      <x:c r="D5" s="9" t="str">
        <x:v>Yes for late arrivals and heavy luggage</x:v>
      </x:c>
      <x:c r="E5" s="9" t="str">
        <x:v>No</x:v>
      </x:c>
      <x:c r="F5" s="9" t="str">
        <x:v>Yes</x:v>
      </x:c>
      <x:c r="G5" s="9" t="str">
        <x:v>trade fair; late arrival; strike</x:v>
      </x:c>
      <x:c r="H5" s="9" t="str">
        <x:v>Public transit is expected unless exception applies.</x:v>
      </x:c>
    </x:row>
    <x:row r="6">
      <x:c r="A6" s="9" t="str">
        <x:v>DE</x:v>
      </x:c>
      <x:c r="B6" s="9" t="str">
        <x:v>Munich</x:v>
      </x:c>
      <x:c r="C6" s="9" t="str">
        <x:v>22:00</x:v>
      </x:c>
      <x:c r="D6" s="9" t="str">
        <x:v>Yes if after threshold or luggage</x:v>
      </x:c>
      <x:c r="E6" s="9" t="str">
        <x:v>No</x:v>
      </x:c>
      <x:c r="F6" s="9" t="str">
        <x:v>Yes</x:v>
      </x:c>
      <x:c r="G6" s="9" t="str">
        <x:v>airport; luggage; client equipment</x:v>
      </x:c>
      <x:c r="H6" s="9" t="str">
        <x:v>Airport rides above EUR 90 require explanation.</x:v>
      </x:c>
    </x:row>
    <x:row r="7">
      <x:c r="A7" s="9" t="str">
        <x:v>CH</x:v>
      </x:c>
      <x:c r="B7" s="9" t="str">
        <x:v>Zurich</x:v>
      </x:c>
      <x:c r="C7" s="9" t="str">
        <x:v>22:30</x:v>
      </x:c>
      <x:c r="D7" s="9" t="str">
        <x:v>Yes if after threshold or client equipment</x:v>
      </x:c>
      <x:c r="E7" s="9" t="str">
        <x:v>No</x:v>
      </x:c>
      <x:c r="F7" s="9" t="str">
        <x:v>Yes</x:v>
      </x:c>
      <x:c r="G7" s="9" t="str">
        <x:v>late arrival; equipment; safety</x:v>
      </x:c>
      <x:c r="H7" s="9" t="str">
        <x:v>High taxi costs are reviewed against public transit options.</x:v>
      </x:c>
    </x:row>
    <x:row r="8">
      <x:c r="A8" s="9" t="str">
        <x:v>FR</x:v>
      </x:c>
      <x:c r="B8" s="9" t="str">
        <x:v>Paris</x:v>
      </x:c>
      <x:c r="C8" s="9" t="str">
        <x:v>22:00</x:v>
      </x:c>
      <x:c r="D8" s="9" t="str">
        <x:v>Yes if after threshold, luggage, or strike</x:v>
      </x:c>
      <x:c r="E8" s="9" t="str">
        <x:v>No</x:v>
      </x:c>
      <x:c r="F8" s="9" t="str">
        <x:v>Yes</x:v>
      </x:c>
      <x:c r="G8" s="9" t="str">
        <x:v>strike; unsafe; luggage</x:v>
      </x:c>
      <x:c r="H8" s="9" t="str">
        <x:v>Taxi receipts must include vendor and date.</x:v>
      </x:c>
    </x:row>
    <x:row r="9">
      <x:c r="A9" s="9" t="str">
        <x:v>GB</x:v>
      </x:c>
      <x:c r="B9" s="9" t="str">
        <x:v>London</x:v>
      </x:c>
      <x:c r="C9" s="9" t="str">
        <x:v>22:30</x:v>
      </x:c>
      <x:c r="D9" s="9" t="str">
        <x:v>Yes if after threshold, safety issue, or rail strike</x:v>
      </x:c>
      <x:c r="E9" s="9" t="str">
        <x:v>No</x:v>
      </x:c>
      <x:c r="F9" s="9" t="str">
        <x:v>Yes</x:v>
      </x:c>
      <x:c r="G9" s="9" t="str">
        <x:v>rail strike; safety; equipment</x:v>
      </x:c>
      <x:c r="H9" s="9" t="str">
        <x:v>Black cab receipt without route needs manual route entry.</x:v>
      </x:c>
    </x:row>
    <x:row r="10">
      <x:c r="A10" s="9" t="str">
        <x:v>US</x:v>
      </x:c>
      <x:c r="B10" s="9" t="str">
        <x:v>New York</x:v>
      </x:c>
      <x:c r="C10" s="9" t="str">
        <x:v>22:00</x:v>
      </x:c>
      <x:c r="D10" s="9" t="str">
        <x:v>Yes, route evidence required</x:v>
      </x:c>
      <x:c r="E10" s="9" t="str">
        <x:v>No</x:v>
      </x:c>
      <x:c r="F10" s="9" t="str">
        <x:v>Yes</x:v>
      </x:c>
      <x:c r="G10" s="9" t="str">
        <x:v>late arrival; client materials</x:v>
      </x:c>
      <x:c r="H10" s="9" t="str">
        <x:v>Tips above 20% require explanation in US cities.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22" hidden="0" customWidth="1"/>
    <x:col min="5" max="5" width="22" hidden="0" customWidth="1"/>
    <x:col min="6" max="6" width="30" hidden="0" customWidth="1"/>
    <x:col min="7" max="7" width="25" hidden="0" customWidth="1"/>
    <x:col min="8" max="8" width="62" hidden="0" customWidth="1"/>
  </x:cols>
  <x:sheetData>
    <x:row r="1">
      <x:c r="A1" s="8" t="str">
        <x:v>country_code</x:v>
      </x:c>
      <x:c r="B1" s="8" t="str">
        <x:v>country</x:v>
      </x:c>
      <x:c r="C1" s="8" t="str">
        <x:v>currency</x:v>
      </x:c>
      <x:c r="D1" s="8" t="str">
        <x:v>private_car_rate_per_km</x:v>
      </x:c>
      <x:c r="E1" s="8" t="str">
        <x:v>electric_car_rate_per_km</x:v>
      </x:c>
      <x:c r="F1" s="8" t="str">
        <x:v>preapproval_distance_one_way_km</x:v>
      </x:c>
      <x:c r="G1" s="8" t="str">
        <x:v>fuel_claim_separate_allowed</x:v>
      </x:c>
      <x:c r="H1" s="8" t="str">
        <x:v>notes</x:v>
      </x:c>
    </x:row>
    <x:row r="2">
      <x:c r="A2" s="9" t="str">
        <x:v>AT</x:v>
      </x:c>
      <x:c r="B2" s="9" t="str">
        <x:v>Austria</x:v>
      </x:c>
      <x:c r="C2" s="9" t="str">
        <x:v>EUR</x:v>
      </x:c>
      <x:c r="D2" s="14" t="n">
        <x:v>0.42</x:v>
      </x:c>
      <x:c r="E2" s="14" t="n">
        <x:v>0.45</x:v>
      </x:c>
      <x:c r="F2" s="12" t="n">
        <x:v>150</x:v>
      </x:c>
      <x:c r="G2" s="9" t="str">
        <x:v>No</x:v>
      </x:c>
      <x:c r="H2" s="9" t="str">
        <x:v>Private mileage includes fuel, wear, and standard insurance.</x:v>
      </x:c>
    </x:row>
    <x:row r="3">
      <x:c r="A3" s="9" t="str">
        <x:v>CZ</x:v>
      </x:c>
      <x:c r="B3" s="9" t="str">
        <x:v>Czechia</x:v>
      </x:c>
      <x:c r="C3" s="9" t="str">
        <x:v>CZK</x:v>
      </x:c>
      <x:c r="D3" s="14" t="n">
        <x:v>6.2</x:v>
      </x:c>
      <x:c r="E3" s="14" t="n">
        <x:v>6.8</x:v>
      </x:c>
      <x:c r="F3" s="12" t="n">
        <x:v>150</x:v>
      </x:c>
      <x:c r="G3" s="9" t="str">
        <x:v>No</x:v>
      </x:c>
      <x:c r="H3" s="9" t="str">
        <x:v>Use local payroll/tax rate if different from Finance rate.</x:v>
      </x:c>
    </x:row>
    <x:row r="4">
      <x:c r="A4" s="9" t="str">
        <x:v>DE</x:v>
      </x:c>
      <x:c r="B4" s="9" t="str">
        <x:v>Germany</x:v>
      </x:c>
      <x:c r="C4" s="9" t="str">
        <x:v>EUR</x:v>
      </x:c>
      <x:c r="D4" s="14" t="n">
        <x:v>0.38</x:v>
      </x:c>
      <x:c r="E4" s="14" t="n">
        <x:v>0.42</x:v>
      </x:c>
      <x:c r="F4" s="12" t="n">
        <x:v>150</x:v>
      </x:c>
      <x:c r="G4" s="9" t="str">
        <x:v>No</x:v>
      </x:c>
      <x:c r="H4" s="9" t="str">
        <x:v>Long-distance private car trips need manager approval.</x:v>
      </x:c>
    </x:row>
    <x:row r="5">
      <x:c r="A5" s="9" t="str">
        <x:v>CH</x:v>
      </x:c>
      <x:c r="B5" s="9" t="str">
        <x:v>Switzerland</x:v>
      </x:c>
      <x:c r="C5" s="9" t="str">
        <x:v>CHF</x:v>
      </x:c>
      <x:c r="D5" s="14" t="n">
        <x:v>0.7</x:v>
      </x:c>
      <x:c r="E5" s="14" t="n">
        <x:v>0.72</x:v>
      </x:c>
      <x:c r="F5" s="12" t="n">
        <x:v>120</x:v>
      </x:c>
      <x:c r="G5" s="9" t="str">
        <x:v>No</x:v>
      </x:c>
      <x:c r="H5" s="9" t="str">
        <x:v>Parking can be claimed separately with business purpose.</x:v>
      </x:c>
    </x:row>
    <x:row r="6">
      <x:c r="A6" s="9" t="str">
        <x:v>NL</x:v>
      </x:c>
      <x:c r="B6" s="9" t="str">
        <x:v>Netherlands</x:v>
      </x:c>
      <x:c r="C6" s="9" t="str">
        <x:v>EUR</x:v>
      </x:c>
      <x:c r="D6" s="14" t="n">
        <x:v>0.34</x:v>
      </x:c>
      <x:c r="E6" s="14" t="n">
        <x:v>0.38</x:v>
      </x:c>
      <x:c r="F6" s="12" t="n">
        <x:v>120</x:v>
      </x:c>
      <x:c r="G6" s="9" t="str">
        <x:v>No</x:v>
      </x:c>
      <x:c r="H6" s="9" t="str">
        <x:v>Bike mileage is not covered in this workbook.</x:v>
      </x:c>
    </x:row>
    <x:row r="7">
      <x:c r="A7" s="9" t="str">
        <x:v>FR</x:v>
      </x:c>
      <x:c r="B7" s="9" t="str">
        <x:v>France</x:v>
      </x:c>
      <x:c r="C7" s="9" t="str">
        <x:v>EUR</x:v>
      </x:c>
      <x:c r="D7" s="14" t="n">
        <x:v>0.4</x:v>
      </x:c>
      <x:c r="E7" s="14" t="n">
        <x:v>0.44</x:v>
      </x:c>
      <x:c r="F7" s="12" t="n">
        <x:v>150</x:v>
      </x:c>
      <x:c r="G7" s="9" t="str">
        <x:v>No</x:v>
      </x:c>
      <x:c r="H7" s="9" t="str">
        <x:v>Tolls reimbursable with receipt if route was business-related.</x:v>
      </x:c>
    </x:row>
    <x:row r="8">
      <x:c r="A8" s="9" t="str">
        <x:v>GB</x:v>
      </x:c>
      <x:c r="B8" s="9" t="str">
        <x:v>United Kingdom</x:v>
      </x:c>
      <x:c r="C8" s="9" t="str">
        <x:v>GBP</x:v>
      </x:c>
      <x:c r="D8" s="14" t="n">
        <x:v>0.45</x:v>
      </x:c>
      <x:c r="E8" s="14" t="n">
        <x:v>0.45</x:v>
      </x:c>
      <x:c r="F8" s="12" t="n">
        <x:v>150</x:v>
      </x:c>
      <x:c r="G8" s="9" t="str">
        <x:v>No</x:v>
      </x:c>
      <x:c r="H8" s="9" t="str">
        <x:v>Use local HMRC-compliant value if Finance updates rate.</x:v>
      </x:c>
    </x:row>
    <x:row r="9">
      <x:c r="A9" s="9" t="str">
        <x:v>US</x:v>
      </x:c>
      <x:c r="B9" s="9" t="str">
        <x:v>United States</x:v>
      </x:c>
      <x:c r="C9" s="9" t="str">
        <x:v>USD</x:v>
      </x:c>
      <x:c r="D9" s="14" t="n">
        <x:v>0.67</x:v>
      </x:c>
      <x:c r="E9" s="14" t="n">
        <x:v>0.67</x:v>
      </x:c>
      <x:c r="F9" s="12" t="n">
        <x:v>150</x:v>
      </x:c>
      <x:c r="G9" s="9" t="str">
        <x:v>No</x:v>
      </x:c>
      <x:c r="H9" s="9" t="str">
        <x:v>Use IRS-compliant rate if Finance updates rate.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4" hidden="0" customWidth="1"/>
    <x:col min="5" max="5" width="50" hidden="0" customWidth="1"/>
  </x:cols>
  <x:sheetData>
    <x:row r="1">
      <x:c r="A1" s="8" t="str">
        <x:v>month</x:v>
      </x:c>
      <x:c r="B1" s="8" t="str">
        <x:v>currency</x:v>
      </x:c>
      <x:c r="C1" s="8" t="str">
        <x:v>eur_rate</x:v>
      </x:c>
      <x:c r="D1" s="8" t="str">
        <x:v>source</x:v>
      </x:c>
      <x:c r="E1" s="8" t="str">
        <x:v>notes</x:v>
      </x:c>
    </x:row>
    <x:row r="2">
      <x:c r="A2" s="9" t="str">
        <x:v>2026-01</x:v>
      </x:c>
      <x:c r="B2" s="9" t="str">
        <x:v>EUR</x:v>
      </x:c>
      <x:c r="C2" s="16" t="n">
        <x:v>1</x:v>
      </x:c>
      <x:c r="D2" s="9" t="str">
        <x:v>Finance monthly table</x:v>
      </x:c>
      <x:c r="E2" s="9" t="str">
        <x:v>Base currency</x:v>
      </x:c>
    </x:row>
    <x:row r="3">
      <x:c r="A3" s="9" t="str">
        <x:v>2026-01</x:v>
      </x:c>
      <x:c r="B3" s="9" t="str">
        <x:v>CZK</x:v>
      </x:c>
      <x:c r="C3" s="16" t="n">
        <x:v>0.04</x:v>
      </x:c>
      <x:c r="D3" s="9" t="str">
        <x:v>Finance monthly table</x:v>
      </x:c>
      <x:c r="E3" s="9" t="str">
        <x:v>25 CZK = 1 EUR equivalent</x:v>
      </x:c>
    </x:row>
    <x:row r="4">
      <x:c r="A4" s="9" t="str">
        <x:v>2026-01</x:v>
      </x:c>
      <x:c r="B4" s="9" t="str">
        <x:v>CHF</x:v>
      </x:c>
      <x:c r="C4" s="16" t="n">
        <x:v>1.06</x:v>
      </x:c>
      <x:c r="D4" s="9" t="str">
        <x:v>Finance monthly table</x:v>
      </x:c>
      <x:c r="E4" s="9" t="str">
        <x:v>Use for Swiss caps and claims</x:v>
      </x:c>
    </x:row>
    <x:row r="5">
      <x:c r="A5" s="9" t="str">
        <x:v>2026-01</x:v>
      </x:c>
      <x:c r="B5" s="9" t="str">
        <x:v>GBP</x:v>
      </x:c>
      <x:c r="C5" s="16" t="n">
        <x:v>1.17</x:v>
      </x:c>
      <x:c r="D5" s="9" t="str">
        <x:v>Finance monthly table</x:v>
      </x:c>
      <x:c r="E5" s="9" t="str">
        <x:v>Use for UK claims</x:v>
      </x:c>
    </x:row>
    <x:row r="6">
      <x:c r="A6" s="9" t="str">
        <x:v>2026-01</x:v>
      </x:c>
      <x:c r="B6" s="9" t="str">
        <x:v>USD</x:v>
      </x:c>
      <x:c r="C6" s="16" t="n">
        <x:v>0.92</x:v>
      </x:c>
      <x:c r="D6" s="9" t="str">
        <x:v>Finance monthly table</x:v>
      </x:c>
      <x:c r="E6" s="9" t="str">
        <x:v>Use for US claims</x:v>
      </x:c>
    </x:row>
    <x:row r="7">
      <x:c r="A7" s="9" t="str">
        <x:v>2026-01</x:v>
      </x:c>
      <x:c r="B7" s="9" t="str">
        <x:v>PLN</x:v>
      </x:c>
      <x:c r="C7" s="16" t="n">
        <x:v>0.23</x:v>
      </x:c>
      <x:c r="D7" s="9" t="str">
        <x:v>Finance monthly table</x:v>
      </x:c>
      <x:c r="E7" s="9" t="str">
        <x:v>Use for Poland claims</x:v>
      </x:c>
    </x:row>
    <x:row r="8">
      <x:c r="A8" s="9" t="str">
        <x:v>2026-01</x:v>
      </x:c>
      <x:c r="B8" s="9" t="str">
        <x:v>HUF</x:v>
      </x:c>
      <x:c r="C8" s="16" t="n">
        <x:v>0.0026</x:v>
      </x:c>
      <x:c r="D8" s="9" t="str">
        <x:v>Finance monthly table</x:v>
      </x:c>
      <x:c r="E8" s="9" t="str">
        <x:v>Use for Hungary claims</x:v>
      </x:c>
    </x:row>
    <x:row r="9">
      <x:c r="A9" s="9" t="str">
        <x:v>2026-02</x:v>
      </x:c>
      <x:c r="B9" s="9" t="str">
        <x:v>EUR</x:v>
      </x:c>
      <x:c r="C9" s="16" t="n">
        <x:v>1</x:v>
      </x:c>
      <x:c r="D9" s="9" t="str">
        <x:v>Finance monthly table</x:v>
      </x:c>
      <x:c r="E9" s="9" t="str">
        <x:v>Base currency</x:v>
      </x:c>
    </x:row>
    <x:row r="10">
      <x:c r="A10" s="9" t="str">
        <x:v>2026-02</x:v>
      </x:c>
      <x:c r="B10" s="9" t="str">
        <x:v>CZK</x:v>
      </x:c>
      <x:c r="C10" s="16" t="n">
        <x:v>0.0396</x:v>
      </x:c>
      <x:c r="D10" s="9" t="str">
        <x:v>Finance monthly table</x:v>
      </x:c>
      <x:c r="E10" s="9" t="str">
        <x:v>Monthly conversion rate</x:v>
      </x:c>
    </x:row>
    <x:row r="11">
      <x:c r="A11" s="9" t="str">
        <x:v>2026-02</x:v>
      </x:c>
      <x:c r="B11" s="9" t="str">
        <x:v>CHF</x:v>
      </x:c>
      <x:c r="C11" s="16" t="n">
        <x:v>1.05</x:v>
      </x:c>
      <x:c r="D11" s="9" t="str">
        <x:v>Finance monthly table</x:v>
      </x:c>
      <x:c r="E11" s="9" t="str">
        <x:v>Monthly conversion rate</x:v>
      </x:c>
    </x:row>
    <x:row r="12">
      <x:c r="A12" s="9" t="str">
        <x:v>2026-02</x:v>
      </x:c>
      <x:c r="B12" s="9" t="str">
        <x:v>GBP</x:v>
      </x:c>
      <x:c r="C12" s="16" t="n">
        <x:v>1.16</x:v>
      </x:c>
      <x:c r="D12" s="9" t="str">
        <x:v>Finance monthly table</x:v>
      </x:c>
      <x:c r="E12" s="9" t="str">
        <x:v>Monthly conversion rate</x:v>
      </x:c>
    </x:row>
    <x:row r="13">
      <x:c r="A13" s="9" t="str">
        <x:v>2026-02</x:v>
      </x:c>
      <x:c r="B13" s="9" t="str">
        <x:v>USD</x:v>
      </x:c>
      <x:c r="C13" s="16" t="n">
        <x:v>0.93</x:v>
      </x:c>
      <x:c r="D13" s="9" t="str">
        <x:v>Finance monthly table</x:v>
      </x:c>
      <x:c r="E13" s="9" t="str">
        <x:v>Monthly conversion rate</x:v>
      </x:c>
    </x:row>
    <x:row r="14">
      <x:c r="A14" s="9" t="str">
        <x:v>2026-02</x:v>
      </x:c>
      <x:c r="B14" s="9" t="str">
        <x:v>PLN</x:v>
      </x:c>
      <x:c r="C14" s="16" t="n">
        <x:v>0.231</x:v>
      </x:c>
      <x:c r="D14" s="9" t="str">
        <x:v>Finance monthly table</x:v>
      </x:c>
      <x:c r="E14" s="9" t="str">
        <x:v>Monthly conversion rate</x:v>
      </x:c>
    </x:row>
    <x:row r="15">
      <x:c r="A15" s="9" t="str">
        <x:v>2026-02</x:v>
      </x:c>
      <x:c r="B15" s="9" t="str">
        <x:v>HUF</x:v>
      </x:c>
      <x:c r="C15" s="16" t="n">
        <x:v>0.00255</x:v>
      </x:c>
      <x:c r="D15" s="9" t="str">
        <x:v>Finance monthly table</x:v>
      </x:c>
      <x:c r="E15" s="9" t="str">
        <x:v>Monthly conversion rate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24" hidden="0" customWidth="1"/>
    <x:col min="5" max="5" width="30" hidden="0" customWidth="1"/>
    <x:col min="6" max="6" width="32" hidden="0" customWidth="1"/>
    <x:col min="7" max="7" width="60" hidden="0" customWidth="1"/>
  </x:cols>
  <x:sheetData>
    <x:row r="1">
      <x:c r="A1" s="8" t="str">
        <x:v>scenario</x:v>
      </x:c>
      <x:c r="B1" s="8" t="str">
        <x:v>threshold</x:v>
      </x:c>
      <x:c r="C1" s="8" t="str">
        <x:v>currency</x:v>
      </x:c>
      <x:c r="D1" s="8" t="str">
        <x:v>approval_required</x:v>
      </x:c>
      <x:c r="E1" s="8" t="str">
        <x:v>approver</x:v>
      </x:c>
      <x:c r="F1" s="8" t="str">
        <x:v>source_priority</x:v>
      </x:c>
      <x:c r="G1" s="8" t="str">
        <x:v>notes</x:v>
      </x:c>
    </x:row>
    <x:row r="2">
      <x:c r="A2" s="9" t="str">
        <x:v>Client entertainment total</x:v>
      </x:c>
      <x:c r="B2" s="12" t="n">
        <x:v>120</x:v>
      </x:c>
      <x:c r="C2" s="9" t="str">
        <x:v>EUR</x:v>
      </x:c>
      <x:c r="D2" s="9" t="str">
        <x:v>Yes if above threshold</x:v>
      </x:c>
      <x:c r="E2" s="9" t="str">
        <x:v>Cost center owner or Sales VP</x:v>
      </x:c>
      <x:c r="F2" s="9" t="str">
        <x:v>Travel Policy PDF + Expense Policy HTML</x:v>
      </x:c>
      <x:c r="G2" s="9" t="str">
        <x:v>Requires attendee list and business purpose.</x:v>
      </x:c>
    </x:row>
    <x:row r="3">
      <x:c r="A3" s="9" t="str">
        <x:v>Missing receipt declaration</x:v>
      </x:c>
      <x:c r="B3" s="12" t="n">
        <x:v>25</x:v>
      </x:c>
      <x:c r="C3" s="9" t="str">
        <x:v>EUR</x:v>
      </x:c>
      <x:c r="D3" s="9" t="str">
        <x:v>Yes if above threshold</x:v>
      </x:c>
      <x:c r="E3" s="9" t="str">
        <x:v>Line manager</x:v>
      </x:c>
      <x:c r="F3" s="9" t="str">
        <x:v>Expense Policy HTML</x:v>
      </x:c>
      <x:c r="G3" s="9" t="str">
        <x:v>Repeated missing evidence can trigger manual review.</x:v>
      </x:c>
    </x:row>
    <x:row r="4">
      <x:c r="A4" s="9" t="str">
        <x:v>Hotel above city cap</x:v>
      </x:c>
      <x:c r="B4" s="12" t="n">
        <x:v>0</x:v>
      </x:c>
      <x:c r="C4" s="9" t="str">
        <x:v>N/A</x:v>
      </x:c>
      <x:c r="D4" s="9" t="str">
        <x:v>Yes if above applicable city cap</x:v>
      </x:c>
      <x:c r="E4" s="9" t="str">
        <x:v>Cost center owner</x:v>
      </x:c>
      <x:c r="F4" s="9" t="str">
        <x:v>PerDiemCaps + Travel Policy PDF</x:v>
      </x:c>
      <x:c r="G4" s="9" t="str">
        <x:v>Document lack of reasonable alternatives.</x:v>
      </x:c>
    </x:row>
    <x:row r="5">
      <x:c r="A5" s="9" t="str">
        <x:v>Private car one-way distance</x:v>
      </x:c>
      <x:c r="B5" s="12" t="n">
        <x:v>150</x:v>
      </x:c>
      <x:c r="C5" s="9" t="str">
        <x:v>km</x:v>
      </x:c>
      <x:c r="D5" s="9" t="str">
        <x:v>Yes if above threshold</x:v>
      </x:c>
      <x:c r="E5" s="9" t="str">
        <x:v>Line manager</x:v>
      </x:c>
      <x:c r="F5" s="9" t="str">
        <x:v>Expense Policy HTML + MileageRates</x:v>
      </x:c>
      <x:c r="G5" s="9" t="str">
        <x:v>Applies unless plant visit exception is documented.</x:v>
      </x:c>
    </x:row>
    <x:row r="6">
      <x:c r="A6" s="9" t="str">
        <x:v>Business class flight duration</x:v>
      </x:c>
      <x:c r="B6" s="12" t="n">
        <x:v>6</x:v>
      </x:c>
      <x:c r="C6" s="9" t="str">
        <x:v>hours</x:v>
      </x:c>
      <x:c r="D6" s="9" t="str">
        <x:v>Yes if intercontinental and above duration</x:v>
      </x:c>
      <x:c r="E6" s="9" t="str">
        <x:v>Cost center owner</x:v>
      </x:c>
      <x:c r="F6" s="9" t="str">
        <x:v>Travel Policy PDF</x:v>
      </x:c>
      <x:c r="G6" s="9" t="str">
        <x:v>Also requires business reason.</x:v>
      </x:c>
    </x:row>
    <x:row r="7">
      <x:c r="A7" s="9" t="str">
        <x:v>Late expense submission</x:v>
      </x:c>
      <x:c r="B7" s="12" t="n">
        <x:v>90</x:v>
      </x:c>
      <x:c r="C7" s="9" t="str">
        <x:v>days</x:v>
      </x:c>
      <x:c r="D7" s="9" t="str">
        <x:v>Yes for exception</x:v>
      </x:c>
      <x:c r="E7" s="9" t="str">
        <x:v>Finance Operations</x:v>
      </x:c>
      <x:c r="F7" s="9" t="str">
        <x:v>Expense Policy HTML + Travel Policy PDF</x:v>
      </x:c>
      <x:c r="G7" s="9" t="str">
        <x:v>Claims older than 90 days normally rejected.</x:v>
      </x:c>
    </x:row>
    <x:row r="8">
      <x:c r="A8" s="9" t="str">
        <x:v>Team celebration per person</x:v>
      </x:c>
      <x:c r="B8" s="12" t="n">
        <x:v>50</x:v>
      </x:c>
      <x:c r="C8" s="9" t="str">
        <x:v>EUR</x:v>
      </x:c>
      <x:c r="D8" s="9" t="str">
        <x:v>Yes if above threshold</x:v>
      </x:c>
      <x:c r="E8" s="9" t="str">
        <x:v>Line manager or morale budget owner</x:v>
      </x:c>
      <x:c r="F8" s="9" t="str">
        <x:v>Expense Policy HTML</x:v>
      </x:c>
      <x:c r="G8" s="9" t="str">
        <x:v>Not normal travel expense category.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8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22" hidden="0" customWidth="1"/>
    <x:col min="10" max="10" width="12" hidden="0" customWidth="1"/>
    <x:col min="11" max="11" width="12" hidden="0" customWidth="1"/>
    <x:col min="12" max="12" width="18" hidden="0" customWidth="1"/>
    <x:col min="13" max="13" width="18" hidden="0" customWidth="1"/>
    <x:col min="14" max="14" width="70" hidden="0" customWidth="1"/>
  </x:cols>
  <x:sheetData>
    <x:row r="1">
      <x:c r="A1" s="8" t="str">
        <x:v>claim_id</x:v>
      </x:c>
      <x:c r="B1" s="8" t="str">
        <x:v>city</x:v>
      </x:c>
      <x:c r="C1" s="8" t="str">
        <x:v>country_code</x:v>
      </x:c>
      <x:c r="D1" s="8" t="str">
        <x:v>category</x:v>
      </x:c>
      <x:c r="E1" s="8" t="str">
        <x:v>source_amount</x:v>
      </x:c>
      <x:c r="F1" s="8" t="str">
        <x:v>currency</x:v>
      </x:c>
      <x:c r="G1" s="8" t="str">
        <x:v>alcohol_amount</x:v>
      </x:c>
      <x:c r="H1" s="8" t="str">
        <x:v>preapproved</x:v>
      </x:c>
      <x:c r="I1" s="8" t="str">
        <x:v>cap_reference</x:v>
      </x:c>
      <x:c r="J1" s="8" t="str">
        <x:v>cap_amount</x:v>
      </x:c>
      <x:c r="K1" s="8" t="str">
        <x:v>fx_to_eur</x:v>
      </x:c>
      <x:c r="L1" s="8" t="str">
        <x:v>converted_amount_eur</x:v>
      </x:c>
      <x:c r="M1" s="8" t="str">
        <x:v>reimbursable_hint</x:v>
      </x:c>
      <x:c r="N1" s="8" t="str">
        <x:v>notes</x:v>
      </x:c>
    </x:row>
    <x:row r="2">
      <x:c r="A2" s="9" t="str">
        <x:v>C-001</x:v>
      </x:c>
      <x:c r="B2" s="9" t="str">
        <x:v>Vienna</x:v>
      </x:c>
      <x:c r="C2" s="9" t="str">
        <x:v>AT</x:v>
      </x:c>
      <x:c r="D2" s="9" t="str">
        <x:v>Dinner</x:v>
      </x:c>
      <x:c r="E2" s="14" t="n">
        <x:v>40</x:v>
      </x:c>
      <x:c r="F2" s="9" t="str">
        <x:v>EUR</x:v>
      </x:c>
      <x:c r="G2" s="14" t="n">
        <x:v>8</x:v>
      </x:c>
      <x:c r="H2" s="9" t="str">
        <x:v>No</x:v>
      </x:c>
      <x:c r="I2" s="9" t="str">
        <x:v>Dinner cap</x:v>
      </x:c>
      <x:c r="J2" s="14" t="n">
        <x:v>35</x:v>
      </x:c>
      <x:c r="K2" s="16" t="n">
        <x:v>1</x:v>
      </x:c>
      <x:c r="L2" s="14" t="n">
        <x:f>E2*K2</x:f>
        <x:v>40</x:v>
      </x:c>
      <x:c r="M2" s="14" t="n">
        <x:f>MIN(E2-G2,J2)*K2</x:f>
        <x:v>32</x:v>
      </x:c>
      <x:c r="N2" s="9" t="str">
        <x:v>Wine excluded; food portion 32 EUR below cap.</x:v>
      </x:c>
    </x:row>
    <x:row r="3">
      <x:c r="A3" s="9" t="str">
        <x:v>C-002</x:v>
      </x:c>
      <x:c r="B3" s="9" t="str">
        <x:v>Berlin</x:v>
      </x:c>
      <x:c r="C3" s="9" t="str">
        <x:v>DE</x:v>
      </x:c>
      <x:c r="D3" s="9" t="str">
        <x:v>Hotel</x:v>
      </x:c>
      <x:c r="E3" s="14" t="n">
        <x:v>175</x:v>
      </x:c>
      <x:c r="F3" s="9" t="str">
        <x:v>EUR</x:v>
      </x:c>
      <x:c r="G3" s="14" t="n">
        <x:v>0</x:v>
      </x:c>
      <x:c r="H3" s="9" t="str">
        <x:v>N/A</x:v>
      </x:c>
      <x:c r="I3" s="9" t="str">
        <x:v>Hotel cap</x:v>
      </x:c>
      <x:c r="J3" s="14" t="n">
        <x:v>180</x:v>
      </x:c>
      <x:c r="K3" s="16" t="n">
        <x:v>1</x:v>
      </x:c>
      <x:c r="L3" s="14" t="n">
        <x:f>E3*K3</x:f>
        <x:v>175</x:v>
      </x:c>
      <x:c r="M3" s="14" t="n">
        <x:f>IF(E3&lt;=J3,E3,J3)*K3</x:f>
        <x:v>175</x:v>
      </x:c>
      <x:c r="N3" s="9" t="str">
        <x:v>Within cap.</x:v>
      </x:c>
    </x:row>
    <x:row r="4">
      <x:c r="A4" s="9" t="str">
        <x:v>C-003</x:v>
      </x:c>
      <x:c r="B4" s="9" t="str">
        <x:v>Prague</x:v>
      </x:c>
      <x:c r="C4" s="9" t="str">
        <x:v>CZ</x:v>
      </x:c>
      <x:c r="D4" s="9" t="str">
        <x:v>Taxi</x:v>
      </x:c>
      <x:c r="E4" s="14" t="n">
        <x:v>650</x:v>
      </x:c>
      <x:c r="F4" s="9" t="str">
        <x:v>CZK</x:v>
      </x:c>
      <x:c r="G4" s="14" t="n">
        <x:v>0</x:v>
      </x:c>
      <x:c r="H4" s="9" t="str">
        <x:v>No</x:v>
      </x:c>
      <x:c r="I4" s="9" t="str">
        <x:v>Taxi after-hours</x:v>
      </x:c>
      <x:c r="J4" s="14" t="n">
        <x:v>0</x:v>
      </x:c>
      <x:c r="K4" s="16" t="n">
        <x:v>0.04</x:v>
      </x:c>
      <x:c r="L4" s="14" t="n">
        <x:f>E4*K4</x:f>
        <x:v>26</x:v>
      </x:c>
      <x:c r="M4" s="14" t="n">
        <x:f>E4*K4</x:f>
        <x:v>26</x:v>
      </x:c>
      <x:c r="N4" s="9" t="str">
        <x:v>Eligibility depends on time threshold and exception reason.</x:v>
      </x:c>
    </x:row>
    <x:row r="5">
      <x:c r="A5" s="9" t="str">
        <x:v>C-004</x:v>
      </x:c>
      <x:c r="B5" s="9" t="str">
        <x:v>Zurich</x:v>
      </x:c>
      <x:c r="C5" s="9" t="str">
        <x:v>CH</x:v>
      </x:c>
      <x:c r="D5" s="9" t="str">
        <x:v>Hotel</x:v>
      </x:c>
      <x:c r="E5" s="14" t="n">
        <x:v>260</x:v>
      </x:c>
      <x:c r="F5" s="9" t="str">
        <x:v>CHF</x:v>
      </x:c>
      <x:c r="G5" s="14" t="n">
        <x:v>0</x:v>
      </x:c>
      <x:c r="H5" s="9" t="str">
        <x:v>No</x:v>
      </x:c>
      <x:c r="I5" s="9" t="str">
        <x:v>Hotel cap</x:v>
      </x:c>
      <x:c r="J5" s="14" t="n">
        <x:v>240</x:v>
      </x:c>
      <x:c r="K5" s="16" t="n">
        <x:v>1.06</x:v>
      </x:c>
      <x:c r="L5" s="14" t="n">
        <x:f>E5*K5</x:f>
        <x:v>275.6</x:v>
      </x:c>
      <x:c r="M5" s="14" t="n">
        <x:f>MIN(E5,J5)*K5</x:f>
        <x:v>254.4</x:v>
      </x:c>
      <x:c r="N5" s="9" t="str">
        <x:v>Above cap without approval; reimbursable hint capped.</x:v>
      </x:c>
    </x:row>
    <x:row r="6">
      <x:c r="A6" s="9" t="str">
        <x:v>C-005</x:v>
      </x:c>
      <x:c r="B6" s="9" t="str">
        <x:v>London</x:v>
      </x:c>
      <x:c r="C6" s="9" t="str">
        <x:v>GB</x:v>
      </x:c>
      <x:c r="D6" s="9" t="str">
        <x:v>Dinner</x:v>
      </x:c>
      <x:c r="E6" s="14" t="n">
        <x:v>62</x:v>
      </x:c>
      <x:c r="F6" s="9" t="str">
        <x:v>GBP</x:v>
      </x:c>
      <x:c r="G6" s="14" t="n">
        <x:v>0</x:v>
      </x:c>
      <x:c r="H6" s="9" t="str">
        <x:v>No</x:v>
      </x:c>
      <x:c r="I6" s="9" t="str">
        <x:v>Dinner cap</x:v>
      </x:c>
      <x:c r="J6" s="14" t="n">
        <x:v>48</x:v>
      </x:c>
      <x:c r="K6" s="16" t="n">
        <x:v>1.17</x:v>
      </x:c>
      <x:c r="L6" s="14" t="n">
        <x:f>E6*K6</x:f>
        <x:v>72.53999999999999</x:v>
      </x:c>
      <x:c r="M6" s="14" t="n">
        <x:f>MIN(E6,J6)*K6</x:f>
        <x:v>56.16</x:v>
      </x:c>
      <x:c r="N6" s="9" t="str">
        <x:v>Above meal cap; excess requires approval.</x:v>
      </x:c>
    </x:row>
    <x:row r="7">
      <x:c r="A7" s="9" t="str">
        <x:v>C-006</x:v>
      </x:c>
      <x:c r="B7" s="9" t="str">
        <x:v>New York</x:v>
      </x:c>
      <x:c r="C7" s="9" t="str">
        <x:v>US</x:v>
      </x:c>
      <x:c r="D7" s="9" t="str">
        <x:v>Dinner</x:v>
      </x:c>
      <x:c r="E7" s="14" t="n">
        <x:v>58</x:v>
      </x:c>
      <x:c r="F7" s="9" t="str">
        <x:v>USD</x:v>
      </x:c>
      <x:c r="G7" s="14" t="n">
        <x:v>0</x:v>
      </x:c>
      <x:c r="H7" s="9" t="str">
        <x:v>No</x:v>
      </x:c>
      <x:c r="I7" s="9" t="str">
        <x:v>Dinner cap</x:v>
      </x:c>
      <x:c r="J7" s="14" t="n">
        <x:v>60</x:v>
      </x:c>
      <x:c r="K7" s="16" t="n">
        <x:v>0.92</x:v>
      </x:c>
      <x:c r="L7" s="14" t="n">
        <x:f>E7*K7</x:f>
        <x:v>53.36</x:v>
      </x:c>
      <x:c r="M7" s="14" t="n">
        <x:f>MIN(E7,J7)*K7</x:f>
        <x:v>53.36</x:v>
      </x:c>
      <x:c r="N7" s="9" t="str">
        <x:v>Within cap.</x:v>
      </x:c>
    </x:row>
    <x:row r="8">
      <x:c r="A8" s="9" t="str">
        <x:v>C-007</x:v>
      </x:c>
      <x:c r="B8" s="9" t="str">
        <x:v>Vienna</x:v>
      </x:c>
      <x:c r="C8" s="9" t="str">
        <x:v>AT</x:v>
      </x:c>
      <x:c r="D8" s="9" t="str">
        <x:v>Client dinner</x:v>
      </x:c>
      <x:c r="E8" s="14" t="n">
        <x:v>150</x:v>
      </x:c>
      <x:c r="F8" s="9" t="str">
        <x:v>EUR</x:v>
      </x:c>
      <x:c r="G8" s="14" t="n">
        <x:v>20</x:v>
      </x:c>
      <x:c r="H8" s="9" t="str">
        <x:v>Yes</x:v>
      </x:c>
      <x:c r="I8" s="9" t="str">
        <x:v>Entertainment threshold</x:v>
      </x:c>
      <x:c r="J8" s="14" t="n">
        <x:v>120</x:v>
      </x:c>
      <x:c r="K8" s="16" t="n">
        <x:v>1</x:v>
      </x:c>
      <x:c r="L8" s="14" t="n">
        <x:f>E8*K8</x:f>
        <x:v>150</x:v>
      </x:c>
      <x:c r="M8" s="14" t="n">
        <x:f>E8*K8</x:f>
        <x:v>150</x:v>
      </x:c>
      <x:c r="N8" s="9" t="str">
        <x:v>Pre-approved client entertainment can include alcohol if attendee list exists.</x:v>
      </x:c>
    </x:row>
    <x:row r="9">
      <x:c r="A9" s="9" t="str">
        <x:v>C-008</x:v>
      </x:c>
      <x:c r="B9" s="9" t="str">
        <x:v>Brno</x:v>
      </x:c>
      <x:c r="C9" s="9" t="str">
        <x:v>CZ</x:v>
      </x:c>
      <x:c r="D9" s="9" t="str">
        <x:v>Hotel</x:v>
      </x:c>
      <x:c r="E9" s="14" t="n">
        <x:v>2800</x:v>
      </x:c>
      <x:c r="F9" s="9" t="str">
        <x:v>CZK</x:v>
      </x:c>
      <x:c r="G9" s="14" t="n">
        <x:v>0</x:v>
      </x:c>
      <x:c r="H9" s="9" t="str">
        <x:v>No</x:v>
      </x:c>
      <x:c r="I9" s="9" t="str">
        <x:v>Hotel cap</x:v>
      </x:c>
      <x:c r="J9" s="14" t="n">
        <x:v>2500</x:v>
      </x:c>
      <x:c r="K9" s="16" t="n">
        <x:v>0.04</x:v>
      </x:c>
      <x:c r="L9" s="14" t="n">
        <x:f>E9*K9</x:f>
        <x:v>112</x:v>
      </x:c>
      <x:c r="M9" s="14" t="n">
        <x:f>MIN(E9,J9)*K9</x:f>
        <x:v>100</x:v>
      </x:c>
      <x:c r="N9" s="9" t="str">
        <x:v>Above cap; needs approval or documented shortage.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0" hidden="0" customWidth="1"/>
    <x:col min="4" max="4" width="10" hidden="0" customWidth="1"/>
    <x:col min="5" max="5" width="14" hidden="0" customWidth="1"/>
    <x:col min="6" max="6" width="18" hidden="0" customWidth="1"/>
    <x:col min="7" max="7" width="45" hidden="0" customWidth="1"/>
    <x:col min="8" max="8" width="65" hidden="0" customWidth="1"/>
  </x:cols>
  <x:sheetData>
    <x:row r="1">
      <x:c r="A1" s="8" t="str">
        <x:v>source_name</x:v>
      </x:c>
      <x:c r="B1" s="8" t="str">
        <x:v>sheet_or_section</x:v>
      </x:c>
      <x:c r="C1" s="8" t="str">
        <x:v>doc_type</x:v>
      </x:c>
      <x:c r="D1" s="8" t="str">
        <x:v>country</x:v>
      </x:c>
      <x:c r="E1" s="8" t="str">
        <x:v>city</x:v>
      </x:c>
      <x:c r="F1" s="8" t="str">
        <x:v>expense_category</x:v>
      </x:c>
      <x:c r="G1" s="8" t="str">
        <x:v>recommended_filter</x:v>
      </x:c>
      <x:c r="H1" s="8" t="str">
        <x:v>notes</x:v>
      </x:c>
    </x:row>
    <x:row r="2">
      <x:c r="A2" s="9" t="str">
        <x:v>per_diem_caps.xlsx</x:v>
      </x:c>
      <x:c r="B2" s="9" t="str">
        <x:v>PerDiemCaps</x:v>
      </x:c>
      <x:c r="C2" s="9" t="str">
        <x:v>xlsx</x:v>
      </x:c>
      <x:c r="D2" s="9" t="str">
        <x:v>AT</x:v>
      </x:c>
      <x:c r="E2" s="9" t="str">
        <x:v>Vienna</x:v>
      </x:c>
      <x:c r="F2" s="9" t="str">
        <x:v>meals</x:v>
      </x:c>
      <x:c r="G2" s="9" t="str">
        <x:v>country=AT, city=Vienna, expense_category=meals</x:v>
      </x:c>
      <x:c r="H2" s="9" t="str">
        <x:v>Use for meal and hotel cap questions.</x:v>
      </x:c>
    </x:row>
    <x:row r="3">
      <x:c r="A3" s="9" t="str">
        <x:v>per_diem_caps.xlsx</x:v>
      </x:c>
      <x:c r="B3" s="9" t="str">
        <x:v>PerDiemCaps</x:v>
      </x:c>
      <x:c r="C3" s="9" t="str">
        <x:v>xlsx</x:v>
      </x:c>
      <x:c r="D3" s="9" t="str">
        <x:v>DE</x:v>
      </x:c>
      <x:c r="E3" s="9" t="str">
        <x:v>Berlin</x:v>
      </x:c>
      <x:c r="F3" s="9" t="str">
        <x:v>hotel</x:v>
      </x:c>
      <x:c r="G3" s="9" t="str">
        <x:v>country=DE, city=Berlin, expense_category=hotel</x:v>
      </x:c>
      <x:c r="H3" s="9" t="str">
        <x:v>Use for hotel cap questions.</x:v>
      </x:c>
    </x:row>
    <x:row r="4">
      <x:c r="A4" s="9" t="str">
        <x:v>per_diem_caps.xlsx</x:v>
      </x:c>
      <x:c r="B4" s="9" t="str">
        <x:v>TaxiRules</x:v>
      </x:c>
      <x:c r="C4" s="9" t="str">
        <x:v>xlsx</x:v>
      </x:c>
      <x:c r="D4" s="9" t="str">
        <x:v>CZ</x:v>
      </x:c>
      <x:c r="E4" s="9" t="str">
        <x:v>Prague</x:v>
      </x:c>
      <x:c r="F4" s="9" t="str">
        <x:v>taxi</x:v>
      </x:c>
      <x:c r="G4" s="9" t="str">
        <x:v>country=CZ, city=Prague, expense_category=taxi</x:v>
      </x:c>
      <x:c r="H4" s="9" t="str">
        <x:v>Use for taxi after-hours checks.</x:v>
      </x:c>
    </x:row>
    <x:row r="5">
      <x:c r="A5" s="9" t="str">
        <x:v>per_diem_caps.xlsx</x:v>
      </x:c>
      <x:c r="B5" s="9" t="str">
        <x:v>MileageRates</x:v>
      </x:c>
      <x:c r="C5" s="9" t="str">
        <x:v>xlsx</x:v>
      </x:c>
      <x:c r="D5" s="9" t="str">
        <x:v>AT</x:v>
      </x:c>
      <x:c r="E5" s="9" t="str"/>
      <x:c r="F5" s="9" t="str">
        <x:v>mileage</x:v>
      </x:c>
      <x:c r="G5" s="9" t="str">
        <x:v>country=AT, expense_category=mileage</x:v>
      </x:c>
      <x:c r="H5" s="9" t="str">
        <x:v>Use for private car mileage rate.</x:v>
      </x:c>
    </x:row>
    <x:row r="6">
      <x:c r="A6" s="9" t="str">
        <x:v>expense_policy.html</x:v>
      </x:c>
      <x:c r="B6" s="9" t="str">
        <x:v>Receipts</x:v>
      </x:c>
      <x:c r="C6" s="9" t="str">
        <x:v>html</x:v>
      </x:c>
      <x:c r="D6" s="9" t="str"/>
      <x:c r="E6" s="9" t="str"/>
      <x:c r="F6" s="9" t="str">
        <x:v>receipts</x:v>
      </x:c>
      <x:c r="G6" s="9" t="str">
        <x:v>expense_category=receipts</x:v>
      </x:c>
      <x:c r="H6" s="9" t="str">
        <x:v>Use for evidence and missing receipt questions.</x:v>
      </x:c>
    </x:row>
    <x:row r="7">
      <x:c r="A7" s="9" t="str">
        <x:v>expense_policy.html</x:v>
      </x:c>
      <x:c r="B7" s="9" t="str">
        <x:v>Meals</x:v>
      </x:c>
      <x:c r="C7" s="9" t="str">
        <x:v>html</x:v>
      </x:c>
      <x:c r="D7" s="9" t="str"/>
      <x:c r="E7" s="9" t="str"/>
      <x:c r="F7" s="9" t="str">
        <x:v>meals</x:v>
      </x:c>
      <x:c r="G7" s="9" t="str">
        <x:v>expense_category=meals</x:v>
      </x:c>
      <x:c r="H7" s="9" t="str">
        <x:v>Use for alcohol, tips, and meal eligibility.</x:v>
      </x:c>
    </x:row>
    <x:row r="8">
      <x:c r="A8" s="9" t="str">
        <x:v>travel_policy.pdf</x:v>
      </x:c>
      <x:c r="B8" s="9" t="str">
        <x:v>Flights</x:v>
      </x:c>
      <x:c r="C8" s="9" t="str">
        <x:v>pdf</x:v>
      </x:c>
      <x:c r="D8" s="9" t="str"/>
      <x:c r="E8" s="9" t="str"/>
      <x:c r="F8" s="9" t="str">
        <x:v>flights</x:v>
      </x:c>
      <x:c r="G8" s="9" t="str">
        <x:v>expense_category=flights</x:v>
      </x:c>
      <x:c r="H8" s="9" t="str">
        <x:v>Use for flight class, boarding pass, and air travel logistics.</x:v>
      </x:c>
    </x:row>
    <x:row r="9">
      <x:c r="A9" s="9" t="str">
        <x:v>travel_policy.pdf</x:v>
      </x:c>
      <x:c r="B9" s="9" t="str">
        <x:v>Approval Matrix</x:v>
      </x:c>
      <x:c r="C9" s="9" t="str">
        <x:v>pdf</x:v>
      </x:c>
      <x:c r="D9" s="9" t="str"/>
      <x:c r="E9" s="9" t="str"/>
      <x:c r="F9" s="9" t="str">
        <x:v>approval</x:v>
      </x:c>
      <x:c r="G9" s="9" t="str">
        <x:v>expense_category=approval</x:v>
      </x:c>
      <x:c r="H9" s="9" t="str">
        <x:v>Use for pre-approval authority.</x:v>
      </x:c>
    </x:row>
  </x:sheetData>
  <x:pageMargins left="0.7" right="0.7" top="0.75" bottom="0.75" header="0.3" footer="0.3"/>
</x:worksheet>
</file>